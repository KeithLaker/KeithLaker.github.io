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eithlaker/Desktop/ChatGPT-Working-Folder/demo-booth/"/>
    </mc:Choice>
  </mc:AlternateContent>
  <xr:revisionPtr revIDLastSave="0" documentId="13_ncr:1_{08D91473-B852-9645-864B-9EDFC3C5BE9E}" xr6:coauthVersionLast="47" xr6:coauthVersionMax="47" xr10:uidLastSave="{00000000-0000-0000-0000-000000000000}"/>
  <bookViews>
    <workbookView xWindow="0" yWindow="620" windowWidth="60160" windowHeight="33220" firstSheet="1" activeTab="3" xr2:uid="{00000000-000D-0000-FFFF-FFFF00000000}"/>
  </bookViews>
  <sheets>
    <sheet name="Start Here" sheetId="1" r:id="rId1"/>
    <sheet name="Mon Oct 26" sheetId="2" r:id="rId2"/>
    <sheet name="Tue Oct 27" sheetId="3" r:id="rId3"/>
    <sheet name="Wed Oct 28" sheetId="4" r:id="rId4"/>
  </sheets>
  <definedNames>
    <definedName name="_xlnm._FilterDatabase" localSheetId="1" hidden="1">'Mon Oct 26'!$A$3:$G$21</definedName>
    <definedName name="_xlnm._FilterDatabase" localSheetId="2" hidden="1">'Tue Oct 27'!$A$3:$G$23</definedName>
    <definedName name="_xlnm._FilterDatabase" localSheetId="3" hidden="1">'Wed Oct 28'!$A$3:$G$13</definedName>
    <definedName name="_xlnm.Print_Titles" localSheetId="1">'Mon Oct 26'!$1:$3</definedName>
    <definedName name="_xlnm.Print_Titles" localSheetId="2">'Tue Oct 27'!$1:$3</definedName>
    <definedName name="_xlnm.Print_Titles" localSheetId="3">'Wed Oct 28'!$1:$3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13" i="4"/>
  <c r="F12" i="4"/>
  <c r="F11" i="4"/>
  <c r="F10" i="4"/>
  <c r="F9" i="4"/>
  <c r="F8" i="4"/>
  <c r="F7" i="4"/>
  <c r="F6" i="4"/>
  <c r="F5" i="4"/>
  <c r="F4" i="4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D18" i="1"/>
  <c r="G22" i="2" l="1"/>
  <c r="G14" i="4"/>
  <c r="F14" i="4"/>
  <c r="F22" i="2"/>
  <c r="E16" i="1"/>
  <c r="G24" i="3"/>
  <c r="E15" i="1"/>
  <c r="F17" i="1"/>
  <c r="F15" i="1"/>
  <c r="F16" i="1"/>
  <c r="F24" i="3"/>
  <c r="E17" i="1"/>
  <c r="E18" i="1" l="1"/>
  <c r="F18" i="1"/>
</calcChain>
</file>

<file path=xl/sharedStrings.xml><?xml version="1.0" encoding="utf-8"?>
<sst xmlns="http://schemas.openxmlformats.org/spreadsheetml/2006/main" count="238" uniqueCount="93">
  <si>
    <t>AUTONOMOUS AI DATABASE BOOTH 7A DUTY SIGN-UP</t>
  </si>
  <si>
    <t>Monday–Wednesday, October 26–28, 2026</t>
  </si>
  <si>
    <t>HOW TO SIGN UP</t>
  </si>
  <si>
    <t>1.  Open the tab for the day you want:  Mon Oct 26  •  Tue Oct 27  •  Wed Oct 28</t>
  </si>
  <si>
    <t>2.  Find the 30-minute time slots you are available for.</t>
  </si>
  <si>
    <t>3.  Type your name in any open Person column (Person 1–4) on EVERY row you can cover.</t>
  </si>
  <si>
    <t xml:space="preserve">     Example: free from 1:30 PM to 3:00 PM?  Put your name on the 1:30, 2:00, and 2:30 rows.</t>
  </si>
  <si>
    <t>4.  Please try to have at least 2 people at the booth at a time. Up to 4 can sign up . If a row has only one name, consider joining it.</t>
  </si>
  <si>
    <t>COVERAGE AT A GLANCE</t>
  </si>
  <si>
    <t>Day</t>
  </si>
  <si>
    <t>Hub Hours</t>
  </si>
  <si>
    <t>Slots</t>
  </si>
  <si>
    <t>Slots Under 2 People</t>
  </si>
  <si>
    <t>Half-Hour Shifts Claimed</t>
  </si>
  <si>
    <t>Monday, October 26</t>
  </si>
  <si>
    <t>09:00 AM – 7:00 PM</t>
  </si>
  <si>
    <t>Tuesday, October 27</t>
  </si>
  <si>
    <t>8:00 AM – 6:00 PM</t>
  </si>
  <si>
    <t>Wednesday, October 28</t>
  </si>
  <si>
    <t>9:00 AM – 2:00 PM</t>
  </si>
  <si>
    <t>TOTAL</t>
  </si>
  <si>
    <t>T-shirt ordering Instructions:</t>
  </si>
  <si>
    <t>1.    Visit the M&amp;D Service Portal (VPN Required)</t>
  </si>
  <si>
    <t>2.    Select Catalog Order</t>
  </si>
  <si>
    <r>
      <t>3.    Select “</t>
    </r>
    <r>
      <rPr>
        <b/>
        <sz val="11"/>
        <color rgb="FF1D1C1D"/>
        <rFont val="Calibri"/>
        <family val="2"/>
        <scheme val="minor"/>
      </rPr>
      <t>Oracle AI World Demo Shirts</t>
    </r>
    <r>
      <rPr>
        <sz val="11"/>
        <color rgb="FF1D1C1D"/>
        <rFont val="Calibri"/>
        <family val="2"/>
        <scheme val="minor"/>
      </rPr>
      <t>” Catalog from the drop-down menu</t>
    </r>
  </si>
  <si>
    <t>4.    Choose your Ship-To Country "United States or Canada"*</t>
  </si>
  <si>
    <t>5.    Click on the "Bella + Canvas" shirt, follow the instructions and Select your Size</t>
  </si>
  <si>
    <t>6.    Change the quantity to "2", and then select “Add to Cart”</t>
  </si>
  <si>
    <t>7.    To checkout select the “View/Update Cart” button</t>
  </si>
  <si>
    <t>8.    Review information and click “Checkout”</t>
  </si>
  <si>
    <t>9.    Enter 6-digit cost center for shipping (find your cost center at the bottom of your Aria profile).</t>
  </si>
  <si>
    <r>
      <t>10. Fill in: </t>
    </r>
    <r>
      <rPr>
        <i/>
        <sz val="11"/>
        <color rgb="FF1D1C1D"/>
        <rFont val="Calibri"/>
        <family val="2"/>
        <scheme val="minor"/>
      </rPr>
      <t>Your Project or Event Reference:</t>
    </r>
    <r>
      <rPr>
        <sz val="11"/>
        <color rgb="FF1D1C1D"/>
        <rFont val="Calibri"/>
        <family val="2"/>
        <scheme val="minor"/>
      </rPr>
      <t> AIW Demo Polo</t>
    </r>
  </si>
  <si>
    <r>
      <t>11. Select: </t>
    </r>
    <r>
      <rPr>
        <i/>
        <sz val="11"/>
        <color rgb="FF1D1C1D"/>
        <rFont val="Calibri"/>
        <family val="2"/>
        <scheme val="minor"/>
      </rPr>
      <t>How will you use these items?</t>
    </r>
    <r>
      <rPr>
        <sz val="11"/>
        <color rgb="FF1D1C1D"/>
        <rFont val="Calibri"/>
        <family val="2"/>
        <scheme val="minor"/>
      </rPr>
      <t> Select Demo Shirts (Oracle AI World) from the drop down menu</t>
    </r>
  </si>
  <si>
    <r>
      <t>12. Select “Standard” shipping level (</t>
    </r>
    <r>
      <rPr>
        <b/>
        <sz val="11"/>
        <color rgb="FF1D1C1D"/>
        <rFont val="Calibri"/>
        <family val="2"/>
        <scheme val="minor"/>
      </rPr>
      <t>Note</t>
    </r>
    <r>
      <rPr>
        <sz val="11"/>
        <color rgb="FF1D1C1D"/>
        <rFont val="Calibri"/>
        <family val="2"/>
        <scheme val="minor"/>
      </rPr>
      <t>: The date selected will not necessarily be the date delivered)</t>
    </r>
  </si>
  <si>
    <t>13. Please fill out all required shipping information.</t>
  </si>
  <si>
    <t>14. Select “Submit”</t>
  </si>
  <si>
    <t>15. You will receive a confirmation email confirming your order has been placed. Tracking information will be sent to you once your order has shipped. Ship date will be closer to mid-September.</t>
  </si>
  <si>
    <t>MONDAY, OCTOBER 26   —   Hub hours 09:00 AM – 7:00 PM</t>
  </si>
  <si>
    <r>
      <t xml:space="preserve">Type your name in any open Person column, on every 30-minute row you can cover. </t>
    </r>
    <r>
      <rPr>
        <b/>
        <i/>
        <sz val="10"/>
        <color theme="1"/>
        <rFont val="Calibri"/>
        <family val="2"/>
      </rPr>
      <t>Aim for 2 people per slot,</t>
    </r>
    <r>
      <rPr>
        <i/>
        <sz val="10"/>
        <color rgb="FF5A6B85"/>
        <rFont val="Calibri"/>
        <family val="2"/>
      </rPr>
      <t xml:space="preserve"> up to 4. Questions → see the Start Here tab.</t>
    </r>
  </si>
  <si>
    <t>Time Slot</t>
  </si>
  <si>
    <t>Person 1</t>
  </si>
  <si>
    <t>Person 2</t>
  </si>
  <si>
    <t>Person 3</t>
  </si>
  <si>
    <t>Person 4</t>
  </si>
  <si>
    <t>Signed Up</t>
  </si>
  <si>
    <t>Notes (or extra people)</t>
  </si>
  <si>
    <t>11:00 AM - 11:30 AM</t>
  </si>
  <si>
    <t>11:30 AM – 12:00 PM</t>
  </si>
  <si>
    <t>12:00 PM – 12:30 PM</t>
  </si>
  <si>
    <t>12:30 PM – 1:00 PM</t>
  </si>
  <si>
    <t>Marcos Arancibia</t>
  </si>
  <si>
    <t>Nilay Panchal</t>
  </si>
  <si>
    <t>1:00 PM – 1:30 PM</t>
  </si>
  <si>
    <t>1:30 PM – 2:00 PM</t>
  </si>
  <si>
    <t>Can Tuzla</t>
  </si>
  <si>
    <t>2:00 PM – 2:30 PM</t>
  </si>
  <si>
    <t>2:30 PM – 3:00 PM</t>
  </si>
  <si>
    <t>Yasin Baskan</t>
  </si>
  <si>
    <t>3:00 PM – 3:30 PM</t>
  </si>
  <si>
    <t>3:30 PM – 4:00 PM</t>
  </si>
  <si>
    <t>Michelle Malcher</t>
  </si>
  <si>
    <t>4:00 PM – 4:30 PM</t>
  </si>
  <si>
    <t>4:30 PM – 5:00 PM</t>
  </si>
  <si>
    <r>
      <t>5:00 PM – 5:30 PM</t>
    </r>
    <r>
      <rPr>
        <b/>
        <sz val="11"/>
        <color rgb="FFFF0000"/>
        <rFont val="Calibri"/>
        <family val="2"/>
      </rPr>
      <t>*</t>
    </r>
  </si>
  <si>
    <r>
      <t>5:30 PM – 6:00 PM</t>
    </r>
    <r>
      <rPr>
        <b/>
        <sz val="11"/>
        <color rgb="FFFF0000"/>
        <rFont val="Calibri"/>
        <family val="2"/>
      </rPr>
      <t>*</t>
    </r>
  </si>
  <si>
    <r>
      <t>6:00 PM – 6:30 PM</t>
    </r>
    <r>
      <rPr>
        <b/>
        <sz val="11"/>
        <color rgb="FFFF0000"/>
        <rFont val="Calibri"/>
        <family val="2"/>
      </rPr>
      <t>*</t>
    </r>
  </si>
  <si>
    <r>
      <t>6:30 PM – 7:00 PM</t>
    </r>
    <r>
      <rPr>
        <b/>
        <sz val="11"/>
        <color rgb="FFFF0000"/>
        <rFont val="Calibri"/>
        <family val="2"/>
      </rPr>
      <t>*</t>
    </r>
  </si>
  <si>
    <t>Half-hour shifts claimed:</t>
  </si>
  <si>
    <r>
      <rPr>
        <sz val="11"/>
        <color rgb="FFFF0000"/>
        <rFont val="Calibri (Body)"/>
      </rPr>
      <t>*</t>
    </r>
    <r>
      <rPr>
        <sz val="11"/>
        <color theme="1"/>
        <rFont val="Calibri"/>
        <family val="2"/>
        <scheme val="minor"/>
      </rPr>
      <t>Welcome Reception</t>
    </r>
  </si>
  <si>
    <t xml:space="preserve">   Dedicated Hours</t>
  </si>
  <si>
    <t>TUESDAY, OCTOBER 27   —   Hub hours 8:00 AM – 6:00 PM</t>
  </si>
  <si>
    <r>
      <t xml:space="preserve">Type your name in any open Person column, on every 30-minute row you can cover. </t>
    </r>
    <r>
      <rPr>
        <b/>
        <i/>
        <sz val="10"/>
        <color theme="1"/>
        <rFont val="Calibri"/>
        <family val="2"/>
      </rPr>
      <t>Aim for 2 people per slo</t>
    </r>
    <r>
      <rPr>
        <i/>
        <sz val="10"/>
        <color rgb="FF5A6B85"/>
        <rFont val="Calibri"/>
        <family val="2"/>
      </rPr>
      <t>t, up to 4. Questions → see the Start Here tab.</t>
    </r>
  </si>
  <si>
    <t>8:00 AM – 8:30 AM</t>
  </si>
  <si>
    <t>8:30 AM – 9:00 AM</t>
  </si>
  <si>
    <t>9:00 AM – 9:30 AM</t>
  </si>
  <si>
    <t>9:30 AM – 10:00 AM</t>
  </si>
  <si>
    <t>10:00 AM – 10:30 AM</t>
  </si>
  <si>
    <t>10:30 AM – 11:00 AM</t>
  </si>
  <si>
    <t>11:00 AM – 11:30 AM</t>
  </si>
  <si>
    <r>
      <rPr>
        <sz val="11"/>
        <color rgb="FFFF0000"/>
        <rFont val="Calibri (Body)"/>
      </rPr>
      <t>*</t>
    </r>
    <r>
      <rPr>
        <sz val="11"/>
        <color theme="1"/>
        <rFont val="Calibri"/>
        <family val="2"/>
        <scheme val="minor"/>
      </rPr>
      <t>Dedicated Hours</t>
    </r>
  </si>
  <si>
    <t>WEDNESDAY, OCTOBER 28   —   Hub hours 9:00 AM – 2:00 PM</t>
  </si>
  <si>
    <r>
      <t xml:space="preserve">Type your name in any open Person column, on every 30-minute row you can cover. </t>
    </r>
    <r>
      <rPr>
        <b/>
        <i/>
        <sz val="10"/>
        <color theme="1"/>
        <rFont val="Calibri"/>
        <family val="2"/>
      </rPr>
      <t xml:space="preserve">Aim for 2 people per slot, </t>
    </r>
    <r>
      <rPr>
        <i/>
        <sz val="10"/>
        <color rgb="FF5A6B85"/>
        <rFont val="Calibri"/>
        <family val="2"/>
      </rPr>
      <t>up to 4. Questions → see the Start Here tab.</t>
    </r>
  </si>
  <si>
    <t>11:30 AM - 12:00 PM</t>
  </si>
  <si>
    <t>10:30 AM - 11:00 AM</t>
  </si>
  <si>
    <t>Micheal Mesrch</t>
  </si>
  <si>
    <t>10:00 AM - 10:30 AM</t>
  </si>
  <si>
    <t>Notes</t>
  </si>
  <si>
    <t>Marcos - Hands-on until 1:30 PM</t>
  </si>
  <si>
    <t>Nilay and Can - Learning Session</t>
  </si>
  <si>
    <t>Cetin's session</t>
  </si>
  <si>
    <t>Nilay, Can, Michelle, Marcos - Bootcamp</t>
  </si>
  <si>
    <t>Freddy Hernandez</t>
  </si>
  <si>
    <t>Michael Mersch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</si>
</sst>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3"/>
      <color rgb="FF5A6B85"/>
      <name val="Calibri"/>
      <family val="2"/>
    </font>
    <font>
      <b/>
      <sz val="12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6"/>
      <color rgb="FFFFFFFF"/>
      <name val="Calibri"/>
      <family val="2"/>
    </font>
    <font>
      <i/>
      <sz val="10"/>
      <color rgb="FF5A6B85"/>
      <name val="Calibri"/>
      <family val="2"/>
    </font>
    <font>
      <b/>
      <sz val="11"/>
      <color rgb="FF1F1F1F"/>
      <name val="Calibri"/>
      <family val="2"/>
    </font>
    <font>
      <b/>
      <sz val="11"/>
      <name val="Calibri"/>
      <family val="2"/>
    </font>
    <font>
      <sz val="12"/>
      <color theme="1"/>
      <name val="Calibri (Body)"/>
    </font>
    <font>
      <b/>
      <sz val="14"/>
      <color rgb="FF1F386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rgb="FF1F3864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rgb="FFA61B1B"/>
      <name val="Calibri"/>
      <family val="2"/>
    </font>
    <font>
      <sz val="11"/>
      <color rgb="FF333333"/>
      <name val="Calibri"/>
      <family val="2"/>
    </font>
    <font>
      <i/>
      <sz val="11"/>
      <color rgb="FFA61B1B"/>
      <name val="Calibri"/>
      <family val="2"/>
    </font>
    <font>
      <b/>
      <sz val="11"/>
      <color rgb="FF333333"/>
      <name val="Calibri"/>
      <family val="2"/>
    </font>
    <font>
      <b/>
      <i/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 (Body)"/>
    </font>
    <font>
      <u/>
      <sz val="11"/>
      <color theme="10"/>
      <name val="Calibri"/>
      <family val="2"/>
      <scheme val="minor"/>
    </font>
    <font>
      <b/>
      <sz val="11"/>
      <color rgb="FF1D1C1D"/>
      <name val="Calibri"/>
      <family val="2"/>
      <scheme val="minor"/>
    </font>
    <font>
      <sz val="11"/>
      <color rgb="FF1D1C1D"/>
      <name val="Calibri"/>
      <family val="2"/>
      <scheme val="minor"/>
    </font>
    <font>
      <i/>
      <sz val="11"/>
      <color rgb="FF1D1C1D"/>
      <name val="Calibri"/>
      <family val="2"/>
      <scheme val="minor"/>
    </font>
    <font>
      <sz val="11"/>
      <color rgb="FF1F1F1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5395"/>
      </patternFill>
    </fill>
    <fill>
      <patternFill patternType="solid">
        <fgColor rgb="FFF4F7FB"/>
      </patternFill>
    </fill>
    <fill>
      <patternFill patternType="solid">
        <fgColor rgb="FFE4EAF4"/>
      </patternFill>
    </fill>
    <fill>
      <patternFill patternType="solid">
        <fgColor rgb="FF1F3864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indent="1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left" vertical="center" indent="1"/>
    </xf>
    <xf numFmtId="0" fontId="17" fillId="0" borderId="0" xfId="0" applyFont="1"/>
    <xf numFmtId="0" fontId="22" fillId="0" borderId="0" xfId="0" applyFont="1"/>
    <xf numFmtId="0" fontId="21" fillId="0" borderId="0" xfId="1"/>
    <xf numFmtId="0" fontId="23" fillId="0" borderId="0" xfId="0" applyFont="1"/>
    <xf numFmtId="0" fontId="6" fillId="6" borderId="0" xfId="0" applyFont="1" applyFill="1" applyAlignment="1">
      <alignment horizontal="left" vertical="center" indent="1"/>
    </xf>
    <xf numFmtId="0" fontId="0" fillId="0" borderId="0" xfId="0"/>
    <xf numFmtId="0" fontId="5" fillId="5" borderId="0" xfId="0" applyFont="1" applyFill="1" applyAlignment="1">
      <alignment horizontal="left" vertical="center" indent="1"/>
    </xf>
    <xf numFmtId="0" fontId="25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/>
        <color rgb="FF386641"/>
      </font>
      <fill>
        <patternFill patternType="solid">
          <fgColor rgb="FFD9EAD3"/>
        </patternFill>
      </fill>
    </dxf>
    <dxf>
      <font>
        <b/>
        <color rgb="FF9C5700"/>
      </font>
      <fill>
        <patternFill patternType="solid">
          <fgColor rgb="FFFFF2CC"/>
        </patternFill>
      </fill>
    </dxf>
    <dxf>
      <font>
        <b/>
        <color rgb="FF386641"/>
      </font>
      <fill>
        <patternFill patternType="solid">
          <fgColor rgb="FFD9EAD3"/>
        </patternFill>
      </fill>
    </dxf>
    <dxf>
      <font>
        <b/>
        <color rgb="FF9C5700"/>
      </font>
      <fill>
        <patternFill patternType="solid">
          <fgColor rgb="FFFFF2CC"/>
        </patternFill>
      </fill>
    </dxf>
    <dxf>
      <font>
        <b/>
        <color rgb="FF386641"/>
      </font>
      <fill>
        <patternFill patternType="solid">
          <fgColor rgb="FFD9EAD3"/>
        </patternFill>
      </fill>
    </dxf>
    <dxf>
      <font>
        <b/>
        <color rgb="FF9C5700"/>
      </font>
      <fill>
        <patternFill patternType="solid">
          <fgColor rgb="FFFFF2CC"/>
        </patternFill>
      </fill>
    </dxf>
    <dxf>
      <font>
        <b/>
        <color rgb="FF9C5700"/>
      </font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eople.oracle.com/apex/f?p=8000:1" TargetMode="External"/><Relationship Id="rId1" Type="http://schemas.openxmlformats.org/officeDocument/2006/relationships/hyperlink" Target="https://apex.oraclecorp.com/pls/apex/f?p=SVC_PORT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8"/>
  <sheetViews>
    <sheetView showGridLines="0" zoomScale="166" workbookViewId="0">
      <selection activeCell="B22" sqref="B22"/>
    </sheetView>
  </sheetViews>
  <sheetFormatPr baseColWidth="10" defaultColWidth="8.83203125" defaultRowHeight="15" x14ac:dyDescent="0.2"/>
  <cols>
    <col min="1" max="1" width="3" customWidth="1"/>
    <col min="2" max="2" width="30" customWidth="1"/>
    <col min="3" max="3" width="22" customWidth="1"/>
    <col min="4" max="4" width="10" customWidth="1"/>
    <col min="5" max="5" width="18" customWidth="1"/>
    <col min="6" max="6" width="24" customWidth="1"/>
  </cols>
  <sheetData>
    <row r="2" spans="2:6" s="23" customFormat="1" ht="34" customHeight="1" x14ac:dyDescent="0.4">
      <c r="B2" s="22" t="s">
        <v>0</v>
      </c>
    </row>
    <row r="3" spans="2:6" ht="17" customHeight="1" x14ac:dyDescent="0.2">
      <c r="B3" s="1" t="s">
        <v>1</v>
      </c>
    </row>
    <row r="4" spans="2:6" x14ac:dyDescent="0.2">
      <c r="B4" s="26"/>
    </row>
    <row r="5" spans="2:6" s="21" customFormat="1" ht="19" customHeight="1" x14ac:dyDescent="0.25">
      <c r="B5" s="20" t="s">
        <v>2</v>
      </c>
    </row>
    <row r="6" spans="2:6" s="19" customFormat="1" ht="16" customHeight="1" x14ac:dyDescent="0.2">
      <c r="B6" s="24" t="s">
        <v>3</v>
      </c>
    </row>
    <row r="7" spans="2:6" s="19" customFormat="1" ht="16" customHeight="1" x14ac:dyDescent="0.2">
      <c r="B7" s="24" t="s">
        <v>4</v>
      </c>
    </row>
    <row r="8" spans="2:6" s="19" customFormat="1" ht="16" customHeight="1" x14ac:dyDescent="0.2">
      <c r="B8" s="24" t="s">
        <v>5</v>
      </c>
    </row>
    <row r="9" spans="2:6" s="19" customFormat="1" ht="16" customHeight="1" x14ac:dyDescent="0.2">
      <c r="B9" s="24" t="s">
        <v>6</v>
      </c>
    </row>
    <row r="10" spans="2:6" s="19" customFormat="1" ht="16" customHeight="1" x14ac:dyDescent="0.2">
      <c r="B10" s="27" t="s">
        <v>7</v>
      </c>
    </row>
    <row r="11" spans="2:6" x14ac:dyDescent="0.2">
      <c r="B11" s="25"/>
    </row>
    <row r="13" spans="2:6" ht="16" customHeight="1" x14ac:dyDescent="0.2">
      <c r="B13" s="2" t="s">
        <v>8</v>
      </c>
    </row>
    <row r="14" spans="2:6" ht="32" customHeight="1" x14ac:dyDescent="0.2"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</row>
    <row r="15" spans="2:6" x14ac:dyDescent="0.2">
      <c r="B15" s="4" t="s">
        <v>14</v>
      </c>
      <c r="C15" s="5" t="s">
        <v>15</v>
      </c>
      <c r="D15" s="5">
        <v>15</v>
      </c>
      <c r="E15" s="5">
        <f>COUNTIF('Mon Oct 26'!$F$4:$F$21,"&lt;2")</f>
        <v>2</v>
      </c>
      <c r="F15" s="5">
        <f>SUM('Mon Oct 26'!$F$4:$F$21)</f>
        <v>42</v>
      </c>
    </row>
    <row r="16" spans="2:6" x14ac:dyDescent="0.2">
      <c r="B16" s="6" t="s">
        <v>16</v>
      </c>
      <c r="C16" s="7" t="s">
        <v>17</v>
      </c>
      <c r="D16" s="7">
        <v>21</v>
      </c>
      <c r="E16" s="7">
        <f>COUNTIF('Tue Oct 27'!$F$4:$F$23,"&lt;2")</f>
        <v>0</v>
      </c>
      <c r="F16" s="7">
        <f>SUM('Tue Oct 27'!$F$4:$F$23)</f>
        <v>45</v>
      </c>
    </row>
    <row r="17" spans="2:6" x14ac:dyDescent="0.2">
      <c r="B17" s="4" t="s">
        <v>18</v>
      </c>
      <c r="C17" s="5" t="s">
        <v>19</v>
      </c>
      <c r="D17" s="5">
        <v>10</v>
      </c>
      <c r="E17" s="5">
        <f>COUNTIF('Wed Oct 28'!$F$4:$F$13,"&lt;2")</f>
        <v>0</v>
      </c>
      <c r="F17" s="5">
        <f>SUM('Wed Oct 28'!$F$4:$F$13)</f>
        <v>25</v>
      </c>
    </row>
    <row r="18" spans="2:6" x14ac:dyDescent="0.2">
      <c r="B18" s="8" t="s">
        <v>20</v>
      </c>
      <c r="C18" s="9"/>
      <c r="D18" s="9">
        <f>SUM(D15:D17)</f>
        <v>46</v>
      </c>
      <c r="E18" s="9">
        <f>SUM(E15:E17)</f>
        <v>2</v>
      </c>
      <c r="F18" s="9">
        <f>SUM(F15:F17)</f>
        <v>112</v>
      </c>
    </row>
    <row r="23" spans="2:6" x14ac:dyDescent="0.2">
      <c r="B23" s="28" t="s">
        <v>21</v>
      </c>
    </row>
    <row r="24" spans="2:6" x14ac:dyDescent="0.2">
      <c r="B24" s="29" t="s">
        <v>22</v>
      </c>
    </row>
    <row r="25" spans="2:6" x14ac:dyDescent="0.2">
      <c r="B25" s="30" t="s">
        <v>23</v>
      </c>
    </row>
    <row r="26" spans="2:6" x14ac:dyDescent="0.2">
      <c r="B26" s="30" t="s">
        <v>24</v>
      </c>
    </row>
    <row r="27" spans="2:6" x14ac:dyDescent="0.2">
      <c r="B27" s="30" t="s">
        <v>25</v>
      </c>
    </row>
    <row r="28" spans="2:6" x14ac:dyDescent="0.2">
      <c r="B28" s="30" t="s">
        <v>26</v>
      </c>
    </row>
    <row r="29" spans="2:6" x14ac:dyDescent="0.2">
      <c r="B29" s="30" t="s">
        <v>27</v>
      </c>
    </row>
    <row r="30" spans="2:6" x14ac:dyDescent="0.2">
      <c r="B30" s="30" t="s">
        <v>28</v>
      </c>
    </row>
    <row r="31" spans="2:6" x14ac:dyDescent="0.2">
      <c r="B31" s="30" t="s">
        <v>29</v>
      </c>
    </row>
    <row r="32" spans="2:6" x14ac:dyDescent="0.2">
      <c r="B32" s="29" t="s">
        <v>30</v>
      </c>
    </row>
    <row r="33" spans="2:2" x14ac:dyDescent="0.2">
      <c r="B33" s="30" t="s">
        <v>31</v>
      </c>
    </row>
    <row r="34" spans="2:2" x14ac:dyDescent="0.2">
      <c r="B34" s="30" t="s">
        <v>32</v>
      </c>
    </row>
    <row r="35" spans="2:2" x14ac:dyDescent="0.2">
      <c r="B35" s="30" t="s">
        <v>33</v>
      </c>
    </row>
    <row r="36" spans="2:2" x14ac:dyDescent="0.2">
      <c r="B36" s="30" t="s">
        <v>34</v>
      </c>
    </row>
    <row r="37" spans="2:2" x14ac:dyDescent="0.2">
      <c r="B37" s="30" t="s">
        <v>35</v>
      </c>
    </row>
    <row r="38" spans="2:2" x14ac:dyDescent="0.2">
      <c r="B38" s="30" t="s">
        <v>36</v>
      </c>
    </row>
  </sheetData>
  <conditionalFormatting sqref="E15:E18">
    <cfRule type="expression" dxfId="6" priority="1">
      <formula>AND(E15&lt;&gt;"",E15&gt;0)</formula>
    </cfRule>
  </conditionalFormatting>
  <hyperlinks>
    <hyperlink ref="B24" r:id="rId1" xr:uid="{03A769CB-027E-4F84-9572-17BEDAB58B25}"/>
    <hyperlink ref="B32" r:id="rId2" xr:uid="{FF2002A0-284F-4CCB-A41A-CC4B0AE27C9C}"/>
  </hyperlinks>
  <pageMargins left="0.75" right="0.75" top="1" bottom="1" header="0.5" footer="0.5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4"/>
  <sheetViews>
    <sheetView showGridLines="0" zoomScale="136" zoomScaleNormal="136" workbookViewId="0">
      <pane xSplit="1" ySplit="3" topLeftCell="B4" activePane="bottomRight" state="frozen"/>
      <selection pane="topRight"/>
      <selection pane="bottomLeft"/>
      <selection pane="bottomRight" activeCell="D16" sqref="D16"/>
    </sheetView>
  </sheetViews>
  <sheetFormatPr baseColWidth="10" defaultColWidth="8.83203125" defaultRowHeight="15" x14ac:dyDescent="0.2"/>
  <cols>
    <col min="1" max="1" width="24" customWidth="1"/>
    <col min="2" max="5" width="22" customWidth="1"/>
    <col min="6" max="6" width="12" customWidth="1"/>
    <col min="7" max="7" width="38" customWidth="1"/>
  </cols>
  <sheetData>
    <row r="1" spans="1:7" ht="34" customHeight="1" x14ac:dyDescent="0.2">
      <c r="A1" s="33" t="s">
        <v>37</v>
      </c>
      <c r="B1" s="32"/>
      <c r="C1" s="32"/>
      <c r="D1" s="32"/>
      <c r="E1" s="32"/>
      <c r="F1" s="32"/>
      <c r="G1" s="32"/>
    </row>
    <row r="2" spans="1:7" ht="22" customHeight="1" x14ac:dyDescent="0.2">
      <c r="A2" s="31" t="s">
        <v>38</v>
      </c>
      <c r="B2" s="32"/>
      <c r="C2" s="32"/>
      <c r="D2" s="32"/>
      <c r="E2" s="32"/>
      <c r="F2" s="32"/>
      <c r="G2" s="32"/>
    </row>
    <row r="3" spans="1:7" ht="30" customHeight="1" x14ac:dyDescent="0.2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86</v>
      </c>
    </row>
    <row r="4" spans="1:7" ht="22" customHeight="1" x14ac:dyDescent="0.2">
      <c r="A4" s="13" t="s">
        <v>85</v>
      </c>
      <c r="B4" s="34" t="s">
        <v>50</v>
      </c>
      <c r="C4" s="34" t="s">
        <v>84</v>
      </c>
      <c r="D4" s="34"/>
      <c r="E4" s="13"/>
      <c r="F4" s="13">
        <f t="shared" ref="F4:F7" si="0">COUNTA(B4:E4)</f>
        <v>2</v>
      </c>
      <c r="G4" s="13"/>
    </row>
    <row r="5" spans="1:7" ht="22" customHeight="1" x14ac:dyDescent="0.2">
      <c r="A5" s="10" t="s">
        <v>83</v>
      </c>
      <c r="B5" s="35" t="s">
        <v>50</v>
      </c>
      <c r="C5" s="35" t="s">
        <v>84</v>
      </c>
      <c r="D5" s="35"/>
      <c r="E5" s="7"/>
      <c r="F5" s="11">
        <f t="shared" si="0"/>
        <v>2</v>
      </c>
      <c r="G5" s="12"/>
    </row>
    <row r="6" spans="1:7" ht="22" customHeight="1" x14ac:dyDescent="0.2">
      <c r="A6" s="13" t="s">
        <v>46</v>
      </c>
      <c r="B6" s="34" t="s">
        <v>50</v>
      </c>
      <c r="C6" s="34" t="s">
        <v>84</v>
      </c>
      <c r="D6" s="34"/>
      <c r="E6" s="13"/>
      <c r="F6" s="14">
        <f t="shared" si="0"/>
        <v>2</v>
      </c>
      <c r="G6" s="13"/>
    </row>
    <row r="7" spans="1:7" ht="22" customHeight="1" x14ac:dyDescent="0.2">
      <c r="A7" s="10" t="s">
        <v>82</v>
      </c>
      <c r="B7" s="35" t="s">
        <v>50</v>
      </c>
      <c r="C7" s="35" t="s">
        <v>84</v>
      </c>
      <c r="D7" s="35"/>
      <c r="E7" s="7"/>
      <c r="F7" s="11">
        <f t="shared" si="0"/>
        <v>2</v>
      </c>
      <c r="G7" s="12"/>
    </row>
    <row r="8" spans="1:7" ht="22" customHeight="1" x14ac:dyDescent="0.2">
      <c r="A8" s="13" t="s">
        <v>48</v>
      </c>
      <c r="B8" s="34" t="s">
        <v>54</v>
      </c>
      <c r="C8" s="34" t="s">
        <v>84</v>
      </c>
      <c r="D8" s="36"/>
      <c r="E8" s="5"/>
      <c r="F8" s="14">
        <f t="shared" ref="F8:F21" si="1">COUNTA(B8:E8)</f>
        <v>2</v>
      </c>
      <c r="G8" s="15" t="s">
        <v>87</v>
      </c>
    </row>
    <row r="9" spans="1:7" ht="22" customHeight="1" x14ac:dyDescent="0.2">
      <c r="A9" s="10" t="s">
        <v>49</v>
      </c>
      <c r="B9" s="35" t="s">
        <v>54</v>
      </c>
      <c r="C9" s="35" t="s">
        <v>51</v>
      </c>
      <c r="D9" s="35"/>
      <c r="E9" s="7"/>
      <c r="F9" s="11">
        <f t="shared" si="1"/>
        <v>2</v>
      </c>
      <c r="G9" s="12"/>
    </row>
    <row r="10" spans="1:7" ht="22" customHeight="1" x14ac:dyDescent="0.2">
      <c r="A10" s="13" t="s">
        <v>52</v>
      </c>
      <c r="B10" s="36" t="s">
        <v>54</v>
      </c>
      <c r="C10" s="36" t="s">
        <v>51</v>
      </c>
      <c r="D10" s="36" t="s">
        <v>91</v>
      </c>
      <c r="E10" s="5"/>
      <c r="F10" s="14">
        <f t="shared" si="1"/>
        <v>3</v>
      </c>
      <c r="G10" s="15"/>
    </row>
    <row r="11" spans="1:7" ht="22" customHeight="1" x14ac:dyDescent="0.2">
      <c r="A11" s="10" t="s">
        <v>53</v>
      </c>
      <c r="B11" s="35" t="s">
        <v>50</v>
      </c>
      <c r="C11" s="35" t="s">
        <v>54</v>
      </c>
      <c r="D11" s="35" t="s">
        <v>91</v>
      </c>
      <c r="E11" s="7"/>
      <c r="F11" s="11">
        <f t="shared" si="1"/>
        <v>3</v>
      </c>
      <c r="G11" s="12"/>
    </row>
    <row r="12" spans="1:7" ht="22" customHeight="1" x14ac:dyDescent="0.2">
      <c r="A12" s="13" t="s">
        <v>55</v>
      </c>
      <c r="B12" s="36" t="s">
        <v>50</v>
      </c>
      <c r="C12" s="36" t="s">
        <v>54</v>
      </c>
      <c r="D12" s="36" t="s">
        <v>91</v>
      </c>
      <c r="E12" s="5"/>
      <c r="F12" s="14">
        <f t="shared" si="1"/>
        <v>3</v>
      </c>
      <c r="G12" s="15"/>
    </row>
    <row r="13" spans="1:7" ht="22" customHeight="1" x14ac:dyDescent="0.2">
      <c r="A13" s="10" t="s">
        <v>56</v>
      </c>
      <c r="B13" s="35" t="s">
        <v>57</v>
      </c>
      <c r="C13" s="35" t="s">
        <v>51</v>
      </c>
      <c r="D13" s="35" t="s">
        <v>91</v>
      </c>
      <c r="E13" s="7"/>
      <c r="F13" s="11">
        <f t="shared" si="1"/>
        <v>3</v>
      </c>
      <c r="G13" s="12"/>
    </row>
    <row r="14" spans="1:7" ht="22" customHeight="1" x14ac:dyDescent="0.2">
      <c r="A14" s="13" t="s">
        <v>58</v>
      </c>
      <c r="B14" s="36" t="s">
        <v>57</v>
      </c>
      <c r="C14" s="36" t="s">
        <v>54</v>
      </c>
      <c r="D14" s="36" t="s">
        <v>91</v>
      </c>
      <c r="E14" s="5"/>
      <c r="F14" s="14">
        <f t="shared" si="1"/>
        <v>3</v>
      </c>
      <c r="G14" s="15"/>
    </row>
    <row r="15" spans="1:7" ht="22" customHeight="1" x14ac:dyDescent="0.2">
      <c r="A15" s="10" t="s">
        <v>59</v>
      </c>
      <c r="B15" s="35" t="s">
        <v>57</v>
      </c>
      <c r="C15" s="35" t="s">
        <v>60</v>
      </c>
      <c r="D15" s="35" t="s">
        <v>91</v>
      </c>
      <c r="E15" s="7"/>
      <c r="F15" s="11">
        <f t="shared" si="1"/>
        <v>3</v>
      </c>
      <c r="G15" s="12"/>
    </row>
    <row r="16" spans="1:7" ht="22" customHeight="1" x14ac:dyDescent="0.2">
      <c r="A16" s="13" t="s">
        <v>61</v>
      </c>
      <c r="B16" s="36" t="s">
        <v>50</v>
      </c>
      <c r="C16" s="36" t="s">
        <v>51</v>
      </c>
      <c r="D16" s="36" t="s">
        <v>60</v>
      </c>
      <c r="E16" s="5"/>
      <c r="F16" s="14">
        <f t="shared" si="1"/>
        <v>3</v>
      </c>
      <c r="G16" s="15"/>
    </row>
    <row r="17" spans="1:7" ht="22" customHeight="1" x14ac:dyDescent="0.2">
      <c r="A17" s="10" t="s">
        <v>62</v>
      </c>
      <c r="B17" s="35" t="s">
        <v>50</v>
      </c>
      <c r="C17" s="35" t="s">
        <v>51</v>
      </c>
      <c r="D17" s="35" t="s">
        <v>60</v>
      </c>
      <c r="E17" s="7"/>
      <c r="F17" s="11">
        <f t="shared" si="1"/>
        <v>3</v>
      </c>
      <c r="G17" s="12"/>
    </row>
    <row r="18" spans="1:7" ht="22" customHeight="1" x14ac:dyDescent="0.2">
      <c r="A18" s="13" t="s">
        <v>63</v>
      </c>
      <c r="B18" s="36" t="s">
        <v>50</v>
      </c>
      <c r="C18" s="36" t="s">
        <v>54</v>
      </c>
      <c r="D18" s="36" t="s">
        <v>60</v>
      </c>
      <c r="E18" s="5"/>
      <c r="F18" s="14">
        <f t="shared" si="1"/>
        <v>3</v>
      </c>
      <c r="G18" s="15"/>
    </row>
    <row r="19" spans="1:7" ht="22" customHeight="1" x14ac:dyDescent="0.2">
      <c r="A19" s="10" t="s">
        <v>64</v>
      </c>
      <c r="B19" s="35" t="s">
        <v>50</v>
      </c>
      <c r="C19" s="35" t="s">
        <v>54</v>
      </c>
      <c r="D19" s="35" t="s">
        <v>60</v>
      </c>
      <c r="E19" s="7"/>
      <c r="F19" s="11">
        <f t="shared" si="1"/>
        <v>3</v>
      </c>
      <c r="G19" s="12"/>
    </row>
    <row r="20" spans="1:7" ht="22" customHeight="1" x14ac:dyDescent="0.2">
      <c r="A20" s="13" t="s">
        <v>65</v>
      </c>
      <c r="B20" s="36"/>
      <c r="C20" s="36"/>
      <c r="D20" s="36"/>
      <c r="E20" s="5"/>
      <c r="F20" s="14">
        <f t="shared" si="1"/>
        <v>0</v>
      </c>
      <c r="G20" s="15"/>
    </row>
    <row r="21" spans="1:7" ht="22" customHeight="1" x14ac:dyDescent="0.2">
      <c r="A21" s="10" t="s">
        <v>66</v>
      </c>
      <c r="B21" s="35"/>
      <c r="C21" s="35"/>
      <c r="D21" s="35"/>
      <c r="E21" s="7"/>
      <c r="F21" s="11">
        <f t="shared" si="1"/>
        <v>0</v>
      </c>
      <c r="G21" s="12"/>
    </row>
    <row r="22" spans="1:7" ht="24" customHeight="1" x14ac:dyDescent="0.2">
      <c r="A22" s="9" t="s">
        <v>20</v>
      </c>
      <c r="B22" s="16"/>
      <c r="C22" s="16"/>
      <c r="D22" s="16"/>
      <c r="E22" s="17" t="s">
        <v>67</v>
      </c>
      <c r="F22" s="9">
        <f>SUM(F4:F21)</f>
        <v>42</v>
      </c>
      <c r="G22" s="18" t="str">
        <f>COUNTIF(F4:F21,"&lt;2")&amp;" slot(s) still below 2 people"</f>
        <v>2 slot(s) still below 2 people</v>
      </c>
    </row>
    <row r="23" spans="1:7" x14ac:dyDescent="0.2">
      <c r="A23" t="s">
        <v>68</v>
      </c>
    </row>
    <row r="24" spans="1:7" x14ac:dyDescent="0.2">
      <c r="A24" t="s">
        <v>69</v>
      </c>
    </row>
  </sheetData>
  <autoFilter ref="A3:G21" xr:uid="{00000000-0009-0000-0000-000001000000}"/>
  <mergeCells count="2">
    <mergeCell ref="A2:G2"/>
    <mergeCell ref="A1:G1"/>
  </mergeCells>
  <conditionalFormatting sqref="F5:F21">
    <cfRule type="expression" dxfId="5" priority="1" stopIfTrue="1">
      <formula>$F5&lt;2</formula>
    </cfRule>
    <cfRule type="expression" dxfId="4" priority="2" stopIfTrue="1">
      <formula>$F5&gt;=2</formula>
    </cfRule>
  </conditionalFormatting>
  <pageMargins left="0.75" right="0.75" top="1" bottom="1" header="0.5" footer="0.5"/>
  <pageSetup fitToHeight="0" orientation="landscape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Only&amp;C&amp;9 MONDAY, OCTOBER 26 — Booth Duty Sign-Up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5"/>
  <sheetViews>
    <sheetView showGridLines="0" zoomScale="134" zoomScaleNormal="134" workbookViewId="0">
      <pane xSplit="1" ySplit="3" topLeftCell="B7" activePane="bottomRight" state="frozen"/>
      <selection pane="topRight"/>
      <selection pane="bottomLeft"/>
      <selection pane="bottomRight" activeCell="D23" sqref="D23"/>
    </sheetView>
  </sheetViews>
  <sheetFormatPr baseColWidth="10" defaultColWidth="8.83203125" defaultRowHeight="15" x14ac:dyDescent="0.2"/>
  <cols>
    <col min="1" max="1" width="24" customWidth="1"/>
    <col min="2" max="5" width="22" customWidth="1"/>
    <col min="6" max="6" width="12" customWidth="1"/>
    <col min="7" max="7" width="38" customWidth="1"/>
  </cols>
  <sheetData>
    <row r="1" spans="1:7" ht="34" customHeight="1" x14ac:dyDescent="0.2">
      <c r="A1" s="33" t="s">
        <v>70</v>
      </c>
      <c r="B1" s="32"/>
      <c r="C1" s="32"/>
      <c r="D1" s="32"/>
      <c r="E1" s="32"/>
      <c r="F1" s="32"/>
      <c r="G1" s="32"/>
    </row>
    <row r="2" spans="1:7" ht="22" customHeight="1" x14ac:dyDescent="0.2">
      <c r="A2" s="31" t="s">
        <v>71</v>
      </c>
      <c r="B2" s="32"/>
      <c r="C2" s="32"/>
      <c r="D2" s="32"/>
      <c r="E2" s="32"/>
      <c r="F2" s="32"/>
      <c r="G2" s="32"/>
    </row>
    <row r="3" spans="1:7" ht="30" customHeight="1" x14ac:dyDescent="0.2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</row>
    <row r="4" spans="1:7" ht="22" customHeight="1" x14ac:dyDescent="0.2">
      <c r="A4" s="10" t="s">
        <v>72</v>
      </c>
      <c r="B4" s="7" t="s">
        <v>60</v>
      </c>
      <c r="C4" s="7" t="s">
        <v>54</v>
      </c>
      <c r="D4" s="7"/>
      <c r="E4" s="7"/>
      <c r="F4" s="11">
        <f t="shared" ref="F4:F23" si="0">COUNTA(B4:E4)</f>
        <v>2</v>
      </c>
      <c r="G4" s="12"/>
    </row>
    <row r="5" spans="1:7" ht="22" customHeight="1" x14ac:dyDescent="0.2">
      <c r="A5" s="13" t="s">
        <v>73</v>
      </c>
      <c r="B5" s="5" t="s">
        <v>60</v>
      </c>
      <c r="C5" s="5" t="s">
        <v>54</v>
      </c>
      <c r="D5" s="5"/>
      <c r="E5" s="5"/>
      <c r="F5" s="14">
        <f t="shared" si="0"/>
        <v>2</v>
      </c>
      <c r="G5" s="15"/>
    </row>
    <row r="6" spans="1:7" ht="22" customHeight="1" x14ac:dyDescent="0.2">
      <c r="A6" s="10" t="s">
        <v>74</v>
      </c>
      <c r="B6" s="7" t="s">
        <v>60</v>
      </c>
      <c r="C6" s="7" t="s">
        <v>54</v>
      </c>
      <c r="D6" s="7"/>
      <c r="E6" s="7"/>
      <c r="F6" s="11">
        <f t="shared" si="0"/>
        <v>2</v>
      </c>
      <c r="G6" s="12"/>
    </row>
    <row r="7" spans="1:7" ht="22" customHeight="1" x14ac:dyDescent="0.2">
      <c r="A7" s="13" t="s">
        <v>75</v>
      </c>
      <c r="B7" s="5" t="s">
        <v>50</v>
      </c>
      <c r="C7" s="5" t="s">
        <v>54</v>
      </c>
      <c r="D7" s="5"/>
      <c r="E7" s="5"/>
      <c r="F7" s="14">
        <f t="shared" si="0"/>
        <v>2</v>
      </c>
      <c r="G7" s="15"/>
    </row>
    <row r="8" spans="1:7" ht="22" customHeight="1" x14ac:dyDescent="0.2">
      <c r="A8" s="10" t="s">
        <v>76</v>
      </c>
      <c r="B8" s="7" t="s">
        <v>50</v>
      </c>
      <c r="C8" s="5" t="s">
        <v>51</v>
      </c>
      <c r="D8" s="7"/>
      <c r="E8" s="7"/>
      <c r="F8" s="11">
        <f t="shared" si="0"/>
        <v>2</v>
      </c>
      <c r="G8" s="12"/>
    </row>
    <row r="9" spans="1:7" ht="22" customHeight="1" x14ac:dyDescent="0.2">
      <c r="A9" s="13" t="s">
        <v>77</v>
      </c>
      <c r="B9" s="5" t="s">
        <v>57</v>
      </c>
      <c r="C9" s="5" t="s">
        <v>51</v>
      </c>
      <c r="D9" s="5"/>
      <c r="E9" s="5"/>
      <c r="F9" s="14">
        <f t="shared" si="0"/>
        <v>2</v>
      </c>
      <c r="G9" s="15"/>
    </row>
    <row r="10" spans="1:7" ht="22" customHeight="1" x14ac:dyDescent="0.2">
      <c r="A10" s="10" t="s">
        <v>78</v>
      </c>
      <c r="B10" s="7" t="s">
        <v>57</v>
      </c>
      <c r="C10" s="7" t="s">
        <v>51</v>
      </c>
      <c r="D10" s="7"/>
      <c r="E10" s="7"/>
      <c r="F10" s="11">
        <f t="shared" si="0"/>
        <v>2</v>
      </c>
      <c r="G10" s="12"/>
    </row>
    <row r="11" spans="1:7" ht="22" customHeight="1" x14ac:dyDescent="0.2">
      <c r="A11" s="13" t="s">
        <v>47</v>
      </c>
      <c r="B11" s="5" t="s">
        <v>57</v>
      </c>
      <c r="C11" s="5" t="s">
        <v>51</v>
      </c>
      <c r="D11" s="5"/>
      <c r="E11" s="5"/>
      <c r="F11" s="14">
        <f t="shared" si="0"/>
        <v>2</v>
      </c>
      <c r="G11" s="15"/>
    </row>
    <row r="12" spans="1:7" ht="22" customHeight="1" x14ac:dyDescent="0.2">
      <c r="A12" s="10" t="s">
        <v>48</v>
      </c>
      <c r="B12" s="7" t="s">
        <v>57</v>
      </c>
      <c r="C12" s="7" t="s">
        <v>54</v>
      </c>
      <c r="D12" s="7"/>
      <c r="E12" s="7"/>
      <c r="F12" s="11">
        <f t="shared" si="0"/>
        <v>2</v>
      </c>
      <c r="G12" s="12"/>
    </row>
    <row r="13" spans="1:7" ht="22" customHeight="1" x14ac:dyDescent="0.2">
      <c r="A13" s="13" t="s">
        <v>49</v>
      </c>
      <c r="B13" s="5" t="s">
        <v>50</v>
      </c>
      <c r="C13" s="5" t="s">
        <v>54</v>
      </c>
      <c r="D13" s="5"/>
      <c r="E13" s="5"/>
      <c r="F13" s="14">
        <f t="shared" si="0"/>
        <v>2</v>
      </c>
      <c r="G13" s="15"/>
    </row>
    <row r="14" spans="1:7" ht="22" customHeight="1" x14ac:dyDescent="0.2">
      <c r="A14" s="10" t="s">
        <v>52</v>
      </c>
      <c r="B14" s="7" t="s">
        <v>50</v>
      </c>
      <c r="C14" s="7" t="s">
        <v>60</v>
      </c>
      <c r="D14" s="7"/>
      <c r="E14" s="7"/>
      <c r="F14" s="11">
        <f t="shared" si="0"/>
        <v>2</v>
      </c>
      <c r="G14" s="12" t="s">
        <v>88</v>
      </c>
    </row>
    <row r="15" spans="1:7" ht="22" customHeight="1" x14ac:dyDescent="0.2">
      <c r="A15" s="13" t="s">
        <v>53</v>
      </c>
      <c r="B15" s="5" t="s">
        <v>50</v>
      </c>
      <c r="C15" s="5" t="s">
        <v>60</v>
      </c>
      <c r="D15" s="5"/>
      <c r="E15" s="5"/>
      <c r="F15" s="14">
        <f t="shared" si="0"/>
        <v>2</v>
      </c>
      <c r="G15" s="15" t="s">
        <v>88</v>
      </c>
    </row>
    <row r="16" spans="1:7" ht="22" customHeight="1" x14ac:dyDescent="0.2">
      <c r="A16" s="10" t="s">
        <v>55</v>
      </c>
      <c r="B16" s="7" t="s">
        <v>57</v>
      </c>
      <c r="C16" s="7" t="s">
        <v>54</v>
      </c>
      <c r="D16" s="7"/>
      <c r="E16" s="7"/>
      <c r="F16" s="11">
        <f t="shared" si="0"/>
        <v>2</v>
      </c>
      <c r="G16" s="12" t="s">
        <v>89</v>
      </c>
    </row>
    <row r="17" spans="1:7" ht="22" customHeight="1" x14ac:dyDescent="0.2">
      <c r="A17" s="13" t="s">
        <v>56</v>
      </c>
      <c r="B17" s="5" t="s">
        <v>57</v>
      </c>
      <c r="C17" s="5" t="s">
        <v>54</v>
      </c>
      <c r="D17" s="5"/>
      <c r="E17" s="5"/>
      <c r="F17" s="14">
        <f t="shared" si="0"/>
        <v>2</v>
      </c>
      <c r="G17" s="15"/>
    </row>
    <row r="18" spans="1:7" ht="22" customHeight="1" x14ac:dyDescent="0.2">
      <c r="A18" s="10" t="s">
        <v>58</v>
      </c>
      <c r="B18" s="7" t="s">
        <v>57</v>
      </c>
      <c r="C18" s="7" t="s">
        <v>54</v>
      </c>
      <c r="D18" s="7"/>
      <c r="E18" s="7"/>
      <c r="F18" s="11">
        <f t="shared" si="0"/>
        <v>2</v>
      </c>
      <c r="G18" s="12"/>
    </row>
    <row r="19" spans="1:7" ht="22" customHeight="1" x14ac:dyDescent="0.2">
      <c r="A19" s="13" t="s">
        <v>59</v>
      </c>
      <c r="B19" s="5" t="s">
        <v>57</v>
      </c>
      <c r="C19" s="5" t="s">
        <v>51</v>
      </c>
      <c r="D19" s="5" t="s">
        <v>91</v>
      </c>
      <c r="E19" s="5"/>
      <c r="F19" s="14">
        <f t="shared" si="0"/>
        <v>3</v>
      </c>
      <c r="G19" s="15"/>
    </row>
    <row r="20" spans="1:7" ht="22" customHeight="1" x14ac:dyDescent="0.2">
      <c r="A20" s="10" t="s">
        <v>61</v>
      </c>
      <c r="B20" s="7" t="s">
        <v>57</v>
      </c>
      <c r="C20" s="7" t="s">
        <v>51</v>
      </c>
      <c r="D20" s="7" t="s">
        <v>91</v>
      </c>
      <c r="E20" s="7"/>
      <c r="F20" s="11">
        <f t="shared" si="0"/>
        <v>3</v>
      </c>
      <c r="G20" s="12"/>
    </row>
    <row r="21" spans="1:7" ht="22" customHeight="1" x14ac:dyDescent="0.2">
      <c r="A21" s="13" t="s">
        <v>62</v>
      </c>
      <c r="B21" s="5" t="s">
        <v>57</v>
      </c>
      <c r="C21" s="5" t="s">
        <v>60</v>
      </c>
      <c r="D21" s="5" t="s">
        <v>91</v>
      </c>
      <c r="E21" s="5"/>
      <c r="F21" s="14">
        <f t="shared" si="0"/>
        <v>3</v>
      </c>
      <c r="G21" s="15"/>
    </row>
    <row r="22" spans="1:7" ht="22" customHeight="1" x14ac:dyDescent="0.2">
      <c r="A22" s="10" t="s">
        <v>63</v>
      </c>
      <c r="B22" s="7" t="s">
        <v>50</v>
      </c>
      <c r="C22" s="7" t="s">
        <v>60</v>
      </c>
      <c r="D22" s="7" t="s">
        <v>91</v>
      </c>
      <c r="E22" s="7"/>
      <c r="F22" s="11">
        <f t="shared" si="0"/>
        <v>3</v>
      </c>
      <c r="G22" s="12"/>
    </row>
    <row r="23" spans="1:7" ht="22" customHeight="1" x14ac:dyDescent="0.2">
      <c r="A23" s="13" t="s">
        <v>64</v>
      </c>
      <c r="B23" s="5" t="s">
        <v>50</v>
      </c>
      <c r="C23" s="5" t="s">
        <v>60</v>
      </c>
      <c r="D23" s="5" t="s">
        <v>91</v>
      </c>
      <c r="E23" s="5"/>
      <c r="F23" s="14">
        <f t="shared" si="0"/>
        <v>3</v>
      </c>
      <c r="G23" s="15"/>
    </row>
    <row r="24" spans="1:7" ht="24" customHeight="1" x14ac:dyDescent="0.2">
      <c r="A24" s="9" t="s">
        <v>20</v>
      </c>
      <c r="B24" s="16"/>
      <c r="C24" s="16"/>
      <c r="D24" s="16"/>
      <c r="E24" s="17" t="s">
        <v>67</v>
      </c>
      <c r="F24" s="9">
        <f>SUM(F4:F23)</f>
        <v>45</v>
      </c>
      <c r="G24" s="18" t="str">
        <f>COUNTIF(F4:F23,"&lt;2")&amp;" slot(s) still below 2 people"</f>
        <v>0 slot(s) still below 2 people</v>
      </c>
    </row>
    <row r="25" spans="1:7" x14ac:dyDescent="0.2">
      <c r="A25" t="s">
        <v>79</v>
      </c>
    </row>
  </sheetData>
  <autoFilter ref="A3:G23" xr:uid="{00000000-0009-0000-0000-000002000000}"/>
  <mergeCells count="2">
    <mergeCell ref="A2:G2"/>
    <mergeCell ref="A1:G1"/>
  </mergeCells>
  <conditionalFormatting sqref="F4:F23">
    <cfRule type="expression" dxfId="3" priority="1" stopIfTrue="1">
      <formula>$F4&lt;2</formula>
    </cfRule>
    <cfRule type="expression" dxfId="2" priority="2" stopIfTrue="1">
      <formula>$F4&gt;=2</formula>
    </cfRule>
  </conditionalFormatting>
  <pageMargins left="0.75" right="0.75" top="1" bottom="1" header="0.5" footer="0.5"/>
  <pageSetup fitToHeight="0" orientation="landscape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Only&amp;C&amp;9 TUESDAY, OCTOBER 27 — Booth Duty Sign-Up —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4"/>
  <sheetViews>
    <sheetView showGridLines="0" tabSelected="1" zoomScale="175" zoomScaleNormal="175" workbookViewId="0">
      <pane xSplit="1" ySplit="3" topLeftCell="B4" activePane="bottomRight" state="frozen"/>
      <selection pane="topRight"/>
      <selection pane="bottomLeft"/>
      <selection pane="bottomRight" activeCell="D16" sqref="D16"/>
    </sheetView>
  </sheetViews>
  <sheetFormatPr baseColWidth="10" defaultColWidth="8.83203125" defaultRowHeight="15" x14ac:dyDescent="0.2"/>
  <cols>
    <col min="1" max="1" width="24" customWidth="1"/>
    <col min="2" max="5" width="22" customWidth="1"/>
    <col min="6" max="6" width="12" customWidth="1"/>
    <col min="7" max="7" width="38" customWidth="1"/>
  </cols>
  <sheetData>
    <row r="1" spans="1:7" ht="34" customHeight="1" x14ac:dyDescent="0.2">
      <c r="A1" s="33" t="s">
        <v>80</v>
      </c>
      <c r="B1" s="32"/>
      <c r="C1" s="32"/>
      <c r="D1" s="32"/>
      <c r="E1" s="32"/>
      <c r="F1" s="32"/>
      <c r="G1" s="32"/>
    </row>
    <row r="2" spans="1:7" ht="22" customHeight="1" x14ac:dyDescent="0.2">
      <c r="A2" s="31" t="s">
        <v>81</v>
      </c>
      <c r="B2" s="32"/>
      <c r="C2" s="32"/>
      <c r="D2" s="32"/>
      <c r="E2" s="32"/>
      <c r="F2" s="32"/>
      <c r="G2" s="32"/>
    </row>
    <row r="3" spans="1:7" ht="30" customHeight="1" x14ac:dyDescent="0.2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</row>
    <row r="4" spans="1:7" ht="22" customHeight="1" x14ac:dyDescent="0.2">
      <c r="A4" s="10" t="s">
        <v>74</v>
      </c>
      <c r="B4" s="7" t="s">
        <v>57</v>
      </c>
      <c r="C4" s="7" t="s">
        <v>92</v>
      </c>
      <c r="D4" s="7"/>
      <c r="E4" s="7"/>
      <c r="F4" s="11">
        <f t="shared" ref="F4:F13" si="0">COUNTA(B4:E4)</f>
        <v>2</v>
      </c>
      <c r="G4" s="12" t="s">
        <v>90</v>
      </c>
    </row>
    <row r="5" spans="1:7" ht="22" customHeight="1" x14ac:dyDescent="0.2">
      <c r="A5" s="13" t="s">
        <v>75</v>
      </c>
      <c r="B5" s="5" t="s">
        <v>57</v>
      </c>
      <c r="C5" s="5" t="s">
        <v>92</v>
      </c>
      <c r="D5" s="5"/>
      <c r="E5" s="5"/>
      <c r="F5" s="14">
        <f t="shared" si="0"/>
        <v>2</v>
      </c>
      <c r="G5" s="15"/>
    </row>
    <row r="6" spans="1:7" ht="22" customHeight="1" x14ac:dyDescent="0.2">
      <c r="A6" s="10" t="s">
        <v>76</v>
      </c>
      <c r="B6" s="7" t="s">
        <v>57</v>
      </c>
      <c r="C6" s="7" t="s">
        <v>92</v>
      </c>
      <c r="D6" s="7"/>
      <c r="E6" s="7"/>
      <c r="F6" s="11">
        <f t="shared" si="0"/>
        <v>2</v>
      </c>
      <c r="G6" s="12"/>
    </row>
    <row r="7" spans="1:7" ht="22" customHeight="1" x14ac:dyDescent="0.2">
      <c r="A7" s="13" t="s">
        <v>77</v>
      </c>
      <c r="B7" s="5" t="s">
        <v>57</v>
      </c>
      <c r="C7" s="5" t="s">
        <v>92</v>
      </c>
      <c r="D7" s="5"/>
      <c r="E7" s="5"/>
      <c r="F7" s="14">
        <f t="shared" si="0"/>
        <v>2</v>
      </c>
      <c r="G7" s="15"/>
    </row>
    <row r="8" spans="1:7" ht="22" customHeight="1" x14ac:dyDescent="0.2">
      <c r="A8" s="10" t="s">
        <v>78</v>
      </c>
      <c r="B8" s="7" t="s">
        <v>50</v>
      </c>
      <c r="C8" s="7" t="s">
        <v>51</v>
      </c>
      <c r="D8" s="7"/>
      <c r="E8" s="7"/>
      <c r="F8" s="11">
        <f t="shared" si="0"/>
        <v>2</v>
      </c>
      <c r="G8" s="12"/>
    </row>
    <row r="9" spans="1:7" ht="22" customHeight="1" x14ac:dyDescent="0.2">
      <c r="A9" s="13" t="s">
        <v>47</v>
      </c>
      <c r="B9" s="5" t="s">
        <v>50</v>
      </c>
      <c r="C9" s="5" t="s">
        <v>51</v>
      </c>
      <c r="D9" s="5" t="s">
        <v>91</v>
      </c>
      <c r="E9" s="5"/>
      <c r="F9" s="14">
        <f t="shared" si="0"/>
        <v>3</v>
      </c>
      <c r="G9" s="15"/>
    </row>
    <row r="10" spans="1:7" ht="22" customHeight="1" x14ac:dyDescent="0.2">
      <c r="A10" s="10" t="s">
        <v>48</v>
      </c>
      <c r="B10" s="7" t="s">
        <v>60</v>
      </c>
      <c r="C10" s="7" t="s">
        <v>54</v>
      </c>
      <c r="D10" s="7" t="s">
        <v>91</v>
      </c>
      <c r="E10" s="7"/>
      <c r="F10" s="11">
        <f t="shared" si="0"/>
        <v>3</v>
      </c>
      <c r="G10" s="12"/>
    </row>
    <row r="11" spans="1:7" ht="22" customHeight="1" x14ac:dyDescent="0.2">
      <c r="A11" s="13" t="s">
        <v>49</v>
      </c>
      <c r="B11" s="5" t="s">
        <v>51</v>
      </c>
      <c r="C11" s="5" t="s">
        <v>54</v>
      </c>
      <c r="D11" s="5" t="s">
        <v>91</v>
      </c>
      <c r="E11" s="5"/>
      <c r="F11" s="14">
        <f t="shared" si="0"/>
        <v>3</v>
      </c>
      <c r="G11" s="15"/>
    </row>
    <row r="12" spans="1:7" ht="22" customHeight="1" x14ac:dyDescent="0.2">
      <c r="A12" s="10" t="s">
        <v>52</v>
      </c>
      <c r="B12" s="7" t="s">
        <v>60</v>
      </c>
      <c r="C12" s="7" t="s">
        <v>51</v>
      </c>
      <c r="D12" s="7" t="s">
        <v>91</v>
      </c>
      <c r="E12" s="7"/>
      <c r="F12" s="11">
        <f t="shared" si="0"/>
        <v>3</v>
      </c>
      <c r="G12" s="12"/>
    </row>
    <row r="13" spans="1:7" ht="22" customHeight="1" x14ac:dyDescent="0.2">
      <c r="A13" s="13" t="s">
        <v>53</v>
      </c>
      <c r="B13" s="5" t="s">
        <v>60</v>
      </c>
      <c r="C13" s="5" t="s">
        <v>54</v>
      </c>
      <c r="D13" s="5" t="s">
        <v>91</v>
      </c>
      <c r="E13" s="5"/>
      <c r="F13" s="14">
        <f t="shared" si="0"/>
        <v>3</v>
      </c>
      <c r="G13" s="15"/>
    </row>
    <row r="14" spans="1:7" ht="24" customHeight="1" x14ac:dyDescent="0.2">
      <c r="A14" s="9" t="s">
        <v>20</v>
      </c>
      <c r="B14" s="16"/>
      <c r="C14" s="16"/>
      <c r="D14" s="16"/>
      <c r="E14" s="17" t="s">
        <v>67</v>
      </c>
      <c r="F14" s="9">
        <f>SUM(F4:F13)</f>
        <v>25</v>
      </c>
      <c r="G14" s="18" t="str">
        <f>COUNTIF(F4:F13,"&lt;2")&amp;" slot(s) still below 2 people"</f>
        <v>0 slot(s) still below 2 people</v>
      </c>
    </row>
  </sheetData>
  <autoFilter ref="A3:G13" xr:uid="{00000000-0009-0000-0000-000003000000}"/>
  <mergeCells count="2">
    <mergeCell ref="A2:G2"/>
    <mergeCell ref="A1:G1"/>
  </mergeCells>
  <conditionalFormatting sqref="F4:F13">
    <cfRule type="expression" dxfId="1" priority="1" stopIfTrue="1">
      <formula>$F4&lt;2</formula>
    </cfRule>
    <cfRule type="expression" dxfId="0" priority="2" stopIfTrue="1">
      <formula>$F4&gt;=2</formula>
    </cfRule>
  </conditionalFormatting>
  <pageMargins left="0.75" right="0.75" top="1" bottom="1" header="0.5" footer="0.5"/>
  <pageSetup fitToHeight="0" orientation="landscape"/>
  <headerFooter>
    <oddHeader>&amp;L&amp;"Aptos"&amp;10&amp;K000000 Confidential - Oracle Restricted \Employees Only&amp;1#_x000D_&amp;"Calibri"&amp;11&amp;K000000&amp;"Aptos"&amp;1 &amp;K000000 Confidential - Oracle Restricted \Employees Only#_x000D_</oddHeader>
    <oddFooter>&amp;L&amp;"Aptos"&amp;10 &amp;K000000_x000D_# Confidential - Oracle Restricted \Employees Only_x000D_&amp;1#&amp;"Aptos"&amp;10&amp;K000000 Confidential - Oracle Restricted \Employees Only&amp;C&amp;9 WEDNESDAY, OCTOBER 28 — Booth Duty Sign-Up —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6c65eb6-d682-436b-8b98-d420f7ed8351">
      <Terms xmlns="http://schemas.microsoft.com/office/infopath/2007/PartnerControls"/>
    </lcf76f155ced4ddcb4097134ff3c332f>
    <_ip_UnifiedCompliancePolicyProperties xmlns="http://schemas.microsoft.com/sharepoint/v3" xsi:nil="true"/>
    <TaxCatchAll xmlns="0d653afe-5e36-4651-a102-c9728d34f1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22E6228379214A946D90CEB3766F8F" ma:contentTypeVersion="16" ma:contentTypeDescription="Create a new document." ma:contentTypeScope="" ma:versionID="c325072c206f03205f851324c7e18358">
  <xsd:schema xmlns:xsd="http://www.w3.org/2001/XMLSchema" xmlns:xs="http://www.w3.org/2001/XMLSchema" xmlns:p="http://schemas.microsoft.com/office/2006/metadata/properties" xmlns:ns1="http://schemas.microsoft.com/sharepoint/v3" xmlns:ns2="66c65eb6-d682-436b-8b98-d420f7ed8351" xmlns:ns3="0d653afe-5e36-4651-a102-c9728d34f10d" targetNamespace="http://schemas.microsoft.com/office/2006/metadata/properties" ma:root="true" ma:fieldsID="4f43356c86b615ee013e985d949a80b9" ns1:_="" ns2:_="" ns3:_="">
    <xsd:import namespace="http://schemas.microsoft.com/sharepoint/v3"/>
    <xsd:import namespace="66c65eb6-d682-436b-8b98-d420f7ed8351"/>
    <xsd:import namespace="0d653afe-5e36-4651-a102-c9728d34f1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65eb6-d682-436b-8b98-d420f7ed8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6b08d2-6182-4197-8221-8710a9404c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53afe-5e36-4651-a102-c9728d34f10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6bd4d6e-bc8f-4513-b374-4455fd85cbdd}" ma:internalName="TaxCatchAll" ma:showField="CatchAllData" ma:web="0d653afe-5e36-4651-a102-c9728d34f1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6BF6C8-FC55-42AD-B439-ECA1C215F5EE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d653afe-5e36-4651-a102-c9728d34f10d"/>
    <ds:schemaRef ds:uri="66c65eb6-d682-436b-8b98-d420f7ed8351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1939F83-5477-490F-BE02-B1CBC4BE4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c65eb6-d682-436b-8b98-d420f7ed8351"/>
    <ds:schemaRef ds:uri="0d653afe-5e36-4651-a102-c9728d34f1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FF5801-5065-4B1B-B519-0C9D02820D9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Start Here</vt:lpstr>
      <vt:lpstr>Mon Oct 26</vt:lpstr>
      <vt:lpstr>Tue Oct 27</vt:lpstr>
      <vt:lpstr>Wed Oct 28</vt:lpstr>
      <vt:lpstr>'Mon Oct 26'!Print_Titles</vt:lpstr>
      <vt:lpstr>'Tue Oct 27'!Print_Titles</vt:lpstr>
      <vt:lpstr>'Wed Oct 28'!Print_Titles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Keith Laker</cp:lastModifiedBy>
  <cp:revision/>
  <dcterms:created xsi:type="dcterms:W3CDTF">2026-08-25T13:45:08Z</dcterms:created>
  <dcterms:modified xsi:type="dcterms:W3CDTF">2026-10-22T12:49:38Z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0x0101000C22E6228379214A946D90CEB3766F8F</vt:lpwstr>
  </property>
  <property fmtid="{D5CDD505-2E9C-101B-9397-08002B2CF9AE}" pid="3" name="MediaServiceImageTags">
    <vt:lpwstr/>
  </property>
</Properties>
</file>